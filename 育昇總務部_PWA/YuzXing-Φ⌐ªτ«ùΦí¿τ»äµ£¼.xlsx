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筆記資料庫" sheetId="1" state="visible" r:id="rId1"/>
    <sheet xmlns:r="http://schemas.openxmlformats.org/officeDocument/2006/relationships" name="ETF投資追蹤" sheetId="2" state="visible" r:id="rId2"/>
    <sheet xmlns:r="http://schemas.openxmlformats.org/officeDocument/2006/relationships" name="每日記帳" sheetId="3" state="visible" r:id="rId3"/>
    <sheet xmlns:r="http://schemas.openxmlformats.org/officeDocument/2006/relationships" name="學習紀錄" sheetId="4" state="visible" r:id="rId4"/>
    <sheet xmlns:r="http://schemas.openxmlformats.org/officeDocument/2006/relationships" name="法律資料庫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5B9BD5"/>
        <bgColor rgb="005B9BD5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建立時間</t>
        </is>
      </c>
      <c r="C1" s="1" t="inlineStr">
        <is>
          <t>更新時間</t>
        </is>
      </c>
      <c r="D1" s="1" t="inlineStr">
        <is>
          <t>標題</t>
        </is>
      </c>
      <c r="E1" s="1" t="inlineStr">
        <is>
          <t>內容</t>
        </is>
      </c>
      <c r="F1" s="1" t="inlineStr">
        <is>
          <t>分類</t>
        </is>
      </c>
      <c r="G1" s="1" t="inlineStr">
        <is>
          <t>標籤</t>
        </is>
      </c>
      <c r="H1" s="1" t="inlineStr">
        <is>
          <t>是否釘選</t>
        </is>
      </c>
      <c r="I1" s="1" t="inlineStr">
        <is>
          <t>是否封存</t>
        </is>
      </c>
      <c r="J1" s="1" t="inlineStr">
        <is>
          <t>圖片URL</t>
        </is>
      </c>
    </row>
    <row r="2">
      <c r="A2" t="n">
        <v>1</v>
      </c>
      <c r="B2" s="2" t="n">
        <v>45972.55630936553</v>
      </c>
      <c r="C2" s="2" t="n">
        <v>45972.55630936557</v>
      </c>
      <c r="D2" t="inlineStr">
        <is>
          <t>歡迎使用 YuzXing</t>
        </is>
      </c>
      <c r="E2" t="inlineStr">
        <is>
          <t>這是您的第一則筆記！您可以在這裡記錄任何想法、待辦事項或重要資訊。</t>
        </is>
      </c>
      <c r="F2" t="inlineStr">
        <is>
          <t>系統</t>
        </is>
      </c>
      <c r="G2" t="inlineStr">
        <is>
          <t>歡迎,教學</t>
        </is>
      </c>
      <c r="H2" t="b">
        <v>0</v>
      </c>
      <c r="I2" t="b">
        <v>0</v>
      </c>
      <c r="J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ETF代號</t>
        </is>
      </c>
      <c r="B1" s="3" t="inlineStr">
        <is>
          <t>中文名稱</t>
        </is>
      </c>
      <c r="C1" s="3" t="inlineStr">
        <is>
          <t>投入金額</t>
        </is>
      </c>
      <c r="D1" s="3" t="inlineStr">
        <is>
          <t>收盤價</t>
        </is>
      </c>
      <c r="E1" s="3" t="inlineStr">
        <is>
          <t>持股數量</t>
        </is>
      </c>
      <c r="F1" s="3" t="inlineStr">
        <is>
          <t>當前市值</t>
        </is>
      </c>
      <c r="G1" s="3" t="inlineStr">
        <is>
          <t>未實現損益</t>
        </is>
      </c>
      <c r="H1" s="3" t="inlineStr">
        <is>
          <t>報酬率(%)</t>
        </is>
      </c>
      <c r="I1" s="3" t="inlineStr">
        <is>
          <t>殖利率(%)</t>
        </is>
      </c>
      <c r="J1" s="3" t="inlineStr">
        <is>
          <t>年預估配息</t>
        </is>
      </c>
      <c r="K1" s="3" t="inlineStr">
        <is>
          <t>配息頻率</t>
        </is>
      </c>
      <c r="L1" s="3" t="inlineStr">
        <is>
          <t>建議動作</t>
        </is>
      </c>
    </row>
    <row r="2">
      <c r="A2" t="inlineStr">
        <is>
          <t>0056.TW</t>
        </is>
      </c>
      <c r="B2" t="inlineStr">
        <is>
          <t>元大高股息</t>
        </is>
      </c>
      <c r="C2" t="n">
        <v>950000</v>
      </c>
      <c r="D2">
        <f>GOOGLEFINANCE("TPE:0056", "price")</f>
        <v/>
      </c>
      <c r="E2" t="n">
        <v>24675</v>
      </c>
      <c r="F2">
        <f>E2*D2</f>
        <v/>
      </c>
      <c r="G2">
        <f>F2-C2</f>
        <v/>
      </c>
      <c r="H2">
        <f>IF(C2&gt;0,(G2/C2)*100,0)</f>
        <v/>
      </c>
      <c r="I2" t="n">
        <v>7.2</v>
      </c>
      <c r="J2" t="n">
        <v>2.77</v>
      </c>
      <c r="K2" t="inlineStr">
        <is>
          <t>季配</t>
        </is>
      </c>
      <c r="L2" t="inlineStr">
        <is>
          <t>觀察</t>
        </is>
      </c>
    </row>
    <row r="3">
      <c r="A3" t="inlineStr">
        <is>
          <t>00878.TW</t>
        </is>
      </c>
      <c r="B3" t="inlineStr">
        <is>
          <t>國泰永續高股息</t>
        </is>
      </c>
      <c r="C3" t="n">
        <v>450000</v>
      </c>
      <c r="D3">
        <f>GOOGLEFINANCE("TPE:00878", "price")</f>
        <v/>
      </c>
      <c r="E3" t="n">
        <v>17787</v>
      </c>
      <c r="F3">
        <f>E3*D3</f>
        <v/>
      </c>
      <c r="G3">
        <f>F3-C3</f>
        <v/>
      </c>
      <c r="H3">
        <f>IF(C3&gt;0,(G3/C3)*100,0)</f>
        <v/>
      </c>
      <c r="I3" t="n">
        <v>6.8</v>
      </c>
      <c r="J3" t="n">
        <v>1.72</v>
      </c>
      <c r="K3" t="inlineStr">
        <is>
          <t>季配</t>
        </is>
      </c>
      <c r="L3" t="inlineStr">
        <is>
          <t>觀察</t>
        </is>
      </c>
    </row>
    <row r="4">
      <c r="A4" t="inlineStr">
        <is>
          <t>00919.TW</t>
        </is>
      </c>
      <c r="B4" t="inlineStr">
        <is>
          <t>群益台灣精選高息</t>
        </is>
      </c>
      <c r="C4" t="n">
        <v>25000</v>
      </c>
      <c r="D4">
        <f>GOOGLEFINANCE("TPE:00919", "price")</f>
        <v/>
      </c>
      <c r="E4" t="n">
        <v>1163</v>
      </c>
      <c r="F4">
        <f>E4*D4</f>
        <v/>
      </c>
      <c r="G4">
        <f>F4-C4</f>
        <v/>
      </c>
      <c r="H4">
        <f>IF(C4&gt;0,(G4/C4)*100,0)</f>
        <v/>
      </c>
      <c r="I4" t="inlineStr"/>
      <c r="J4" t="inlineStr"/>
      <c r="K4" t="inlineStr">
        <is>
          <t>季配</t>
        </is>
      </c>
      <c r="L4" t="inlineStr">
        <is>
          <t>觀察</t>
        </is>
      </c>
    </row>
    <row r="5">
      <c r="A5" t="inlineStr">
        <is>
          <t>00900.TW</t>
        </is>
      </c>
      <c r="B5" t="inlineStr">
        <is>
          <t>富邦特選高股息</t>
        </is>
      </c>
      <c r="C5" t="n">
        <v>850000</v>
      </c>
      <c r="D5">
        <f>GOOGLEFINANCE("TPE:00900", "price")</f>
        <v/>
      </c>
      <c r="E5" t="n">
        <v>63382</v>
      </c>
      <c r="F5">
        <f>E5*D5</f>
        <v/>
      </c>
      <c r="G5">
        <f>F5-C5</f>
        <v/>
      </c>
      <c r="H5">
        <f>IF(C5&gt;0,(G5/C5)*100,0)</f>
        <v/>
      </c>
      <c r="I5" t="inlineStr"/>
      <c r="J5" t="inlineStr"/>
      <c r="K5" t="inlineStr">
        <is>
          <t>季配</t>
        </is>
      </c>
      <c r="L5" t="inlineStr">
        <is>
          <t>觀察</t>
        </is>
      </c>
    </row>
    <row r="6">
      <c r="A6" t="inlineStr">
        <is>
          <t>00713.TW</t>
        </is>
      </c>
      <c r="B6" t="inlineStr">
        <is>
          <t>元大台灣高息低波</t>
        </is>
      </c>
      <c r="C6" t="n">
        <v>900000</v>
      </c>
      <c r="D6">
        <f>GOOGLEFINANCE("TPE:00713", "price")</f>
        <v/>
      </c>
      <c r="E6" t="n">
        <v>17578</v>
      </c>
      <c r="F6">
        <f>E6*D6</f>
        <v/>
      </c>
      <c r="G6">
        <f>F6-C6</f>
        <v/>
      </c>
      <c r="H6">
        <f>IF(C6&gt;0,(G6/C6)*100,0)</f>
        <v/>
      </c>
      <c r="I6" t="inlineStr"/>
      <c r="J6" t="inlineStr"/>
      <c r="K6" t="inlineStr">
        <is>
          <t>季配</t>
        </is>
      </c>
      <c r="L6" t="inlineStr">
        <is>
          <t>觀察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日期</t>
        </is>
      </c>
      <c r="C1" s="4" t="inlineStr">
        <is>
          <t>類型</t>
        </is>
      </c>
      <c r="D1" s="4" t="inlineStr">
        <is>
          <t>類別</t>
        </is>
      </c>
      <c r="E1" s="4" t="inlineStr">
        <is>
          <t>金額</t>
        </is>
      </c>
      <c r="F1" s="4" t="inlineStr">
        <is>
          <t>備註</t>
        </is>
      </c>
    </row>
    <row r="2">
      <c r="A2" t="n">
        <v>1</v>
      </c>
      <c r="B2" s="2" t="n">
        <v>45972.55630939596</v>
      </c>
      <c r="C2" t="inlineStr">
        <is>
          <t>支出</t>
        </is>
      </c>
      <c r="D2" t="inlineStr">
        <is>
          <t>飲食</t>
        </is>
      </c>
      <c r="E2" t="n">
        <v>150</v>
      </c>
      <c r="F2" t="inlineStr">
        <is>
          <t>午餐</t>
        </is>
      </c>
    </row>
    <row r="3">
      <c r="A3" t="n">
        <v>2</v>
      </c>
      <c r="B3" s="2" t="n">
        <v>45972.55630939631</v>
      </c>
      <c r="C3" t="inlineStr">
        <is>
          <t>收入</t>
        </is>
      </c>
      <c r="D3" t="inlineStr">
        <is>
          <t>薪資</t>
        </is>
      </c>
      <c r="E3" t="n">
        <v>50000</v>
      </c>
      <c r="F3" t="inlineStr">
        <is>
          <t>本月薪水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ID</t>
        </is>
      </c>
      <c r="B1" s="5" t="inlineStr">
        <is>
          <t>建立時間</t>
        </is>
      </c>
      <c r="C1" s="5" t="inlineStr">
        <is>
          <t>更新時間</t>
        </is>
      </c>
      <c r="D1" s="5" t="inlineStr">
        <is>
          <t>標題</t>
        </is>
      </c>
      <c r="E1" s="5" t="inlineStr">
        <is>
          <t>內容</t>
        </is>
      </c>
      <c r="F1" s="5" t="inlineStr">
        <is>
          <t>來源</t>
        </is>
      </c>
      <c r="G1" s="5" t="inlineStr">
        <is>
          <t>連結</t>
        </is>
      </c>
      <c r="H1" s="5" t="inlineStr">
        <is>
          <t>進度</t>
        </is>
      </c>
      <c r="I1" s="5" t="inlineStr">
        <is>
          <t>狀態</t>
        </is>
      </c>
      <c r="J1" s="5" t="inlineStr">
        <is>
          <t>分類</t>
        </is>
      </c>
      <c r="K1" s="5" t="inlineStr">
        <is>
          <t>標籤</t>
        </is>
      </c>
    </row>
    <row r="2">
      <c r="A2" t="n">
        <v>1</v>
      </c>
      <c r="B2" s="2" t="n">
        <v>45972.55630941117</v>
      </c>
      <c r="C2" s="2" t="n">
        <v>45972.55630941118</v>
      </c>
      <c r="D2" t="inlineStr">
        <is>
          <t>Python 進階教學</t>
        </is>
      </c>
      <c r="E2" t="inlineStr">
        <is>
          <t>學習 Python 的進階功能，包含裝飾器、生成器等</t>
        </is>
      </c>
      <c r="F2" t="inlineStr">
        <is>
          <t>Udemy</t>
        </is>
      </c>
      <c r="G2" t="inlineStr">
        <is>
          <t>https://udemy.com/python-advanced</t>
        </is>
      </c>
      <c r="H2" t="n">
        <v>75</v>
      </c>
      <c r="I2" t="inlineStr">
        <is>
          <t>進行中</t>
        </is>
      </c>
      <c r="J2" t="inlineStr">
        <is>
          <t>程式設計</t>
        </is>
      </c>
      <c r="K2" t="inlineStr">
        <is>
          <t>Python,進階,實作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ID</t>
        </is>
      </c>
      <c r="B1" s="6" t="inlineStr">
        <is>
          <t>建立時間</t>
        </is>
      </c>
      <c r="C1" s="6" t="inlineStr">
        <is>
          <t>更新時間</t>
        </is>
      </c>
      <c r="D1" s="6" t="inlineStr">
        <is>
          <t>標題</t>
        </is>
      </c>
      <c r="E1" s="6" t="inlineStr">
        <is>
          <t>內容</t>
        </is>
      </c>
      <c r="F1" s="6" t="inlineStr">
        <is>
          <t>類型</t>
        </is>
      </c>
      <c r="G1" s="6" t="inlineStr">
        <is>
          <t>狀態</t>
        </is>
      </c>
      <c r="H1" s="6" t="inlineStr">
        <is>
          <t>重要性</t>
        </is>
      </c>
      <c r="I1" s="6" t="inlineStr">
        <is>
          <t>到期日</t>
        </is>
      </c>
      <c r="J1" s="6" t="inlineStr">
        <is>
          <t>相關文件</t>
        </is>
      </c>
      <c r="K1" s="6" t="inlineStr">
        <is>
          <t>標籤</t>
        </is>
      </c>
    </row>
    <row r="2">
      <c r="A2" t="n">
        <v>1</v>
      </c>
      <c r="B2" s="2" t="n">
        <v>45972.5563094262</v>
      </c>
      <c r="C2" s="2" t="n">
        <v>45972.55630942623</v>
      </c>
      <c r="D2" t="inlineStr">
        <is>
          <t>租賃契約</t>
        </is>
      </c>
      <c r="E2" t="inlineStr">
        <is>
          <t>台北市大安區租賃契約，租期兩年</t>
        </is>
      </c>
      <c r="F2" t="inlineStr">
        <is>
          <t>契約</t>
        </is>
      </c>
      <c r="G2" t="inlineStr">
        <is>
          <t>進行中</t>
        </is>
      </c>
      <c r="H2" t="inlineStr">
        <is>
          <t>高</t>
        </is>
      </c>
      <c r="I2" t="inlineStr">
        <is>
          <t>2025-12-31</t>
        </is>
      </c>
      <c r="J2" t="inlineStr"/>
      <c r="K2" t="inlineStr">
        <is>
          <t>租屋,契約,重要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2025-11-11T18:21:05Z</dcterms:created>
  <dcterms:modified xmlns:dcterms="http://purl.org/dc/terms/" xmlns:xsi="http://www.w3.org/2001/XMLSchema-instance" xsi:type="dcterms:W3CDTF">2025-11-11T18:21:05Z</dcterms:modified>
</cp:coreProperties>
</file>